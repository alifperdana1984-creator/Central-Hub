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liu\Downloads\"/>
    </mc:Choice>
  </mc:AlternateContent>
  <xr:revisionPtr revIDLastSave="0" documentId="13_ncr:1_{B7E51DEA-3E36-4F7E-8EC9-C7333B2507AD}" xr6:coauthVersionLast="47" xr6:coauthVersionMax="47" xr10:uidLastSave="{00000000-0000-0000-0000-000000000000}"/>
  <bookViews>
    <workbookView xWindow="-120" yWindow="-120" windowWidth="29040" windowHeight="15720" xr2:uid="{00000000-000D-0000-FFFF-FFFF00000000}"/>
  </bookViews>
  <sheets>
    <sheet name="2025_2026" sheetId="1" r:id="rId1"/>
  </sheets>
  <calcPr calcId="191029"/>
</workbook>
</file>

<file path=xl/calcChain.xml><?xml version="1.0" encoding="utf-8"?>
<calcChain xmlns="http://schemas.openxmlformats.org/spreadsheetml/2006/main">
  <c r="N17" i="1" l="1"/>
  <c r="M17" i="1"/>
  <c r="L17" i="1"/>
  <c r="K17" i="1"/>
  <c r="J17" i="1"/>
  <c r="I17" i="1"/>
  <c r="H17" i="1"/>
  <c r="G17" i="1"/>
</calcChain>
</file>

<file path=xl/sharedStrings.xml><?xml version="1.0" encoding="utf-8"?>
<sst xmlns="http://schemas.openxmlformats.org/spreadsheetml/2006/main" count="91" uniqueCount="52">
  <si>
    <t>school</t>
  </si>
  <si>
    <t>foundation_representative</t>
  </si>
  <si>
    <t>level</t>
  </si>
  <si>
    <t>teaching_staff</t>
  </si>
  <si>
    <t>non_teaching_staff</t>
  </si>
  <si>
    <t>students</t>
  </si>
  <si>
    <t>admission_2017/2018</t>
  </si>
  <si>
    <t>admission_2018/2019</t>
  </si>
  <si>
    <t>admission_2019/2020</t>
  </si>
  <si>
    <t>admission_2020/2021</t>
  </si>
  <si>
    <t>admission_2021/2022</t>
  </si>
  <si>
    <t>admission_2022/2023</t>
  </si>
  <si>
    <t>admission_2023/2024</t>
  </si>
  <si>
    <t>admission_2024/2025</t>
  </si>
  <si>
    <t>admission_2025/2026_ongoing</t>
  </si>
  <si>
    <t>total_admission_2017_2025</t>
  </si>
  <si>
    <t>Cahaya Rancamaya Islamic Boarding School</t>
  </si>
  <si>
    <t>Dr. Ari Rosandi, S.S., M.Pd.</t>
  </si>
  <si>
    <t>SMP, SMA</t>
  </si>
  <si>
    <t>Emer Islamic Boarding School</t>
  </si>
  <si>
    <t>Rahmat Hidayat, S.Sos., M.Pd.</t>
  </si>
  <si>
    <t>null</t>
  </si>
  <si>
    <t>Fatih</t>
  </si>
  <si>
    <t>Amirbek Bektashov</t>
  </si>
  <si>
    <t>PG, TK, SD, SMP, SMA</t>
  </si>
  <si>
    <t>Kesatuan Bangsa</t>
  </si>
  <si>
    <t>Vezir Ashyrnepesov</t>
  </si>
  <si>
    <t>SD, SMP, SMA</t>
  </si>
  <si>
    <t>Kharisma Bangsa</t>
  </si>
  <si>
    <t>Irsyad Affandi</t>
  </si>
  <si>
    <t>TK, SD, SMP, SMA</t>
  </si>
  <si>
    <t>Mega Islamic Boarding School</t>
  </si>
  <si>
    <t>RS Dwi Prajitno Wibowo, S.T., M.Pd.</t>
  </si>
  <si>
    <t>Pakar Belia</t>
  </si>
  <si>
    <t>Feri Adrison, S.I.P., M.Pd.</t>
  </si>
  <si>
    <t>Prestige School</t>
  </si>
  <si>
    <t>Sabar Risdadi, S.S., M.Pd.</t>
  </si>
  <si>
    <t>PG, TK, SD, SMP</t>
  </si>
  <si>
    <t>Pribadi Bandung</t>
  </si>
  <si>
    <t>Arif Rahman Rhoma, S.Pd.</t>
  </si>
  <si>
    <t>Pribadi Depok</t>
  </si>
  <si>
    <t>Fatih Pasaoglu, S.Pd., M.M.</t>
  </si>
  <si>
    <t>Pribadi Premiere</t>
  </si>
  <si>
    <t>Semesta</t>
  </si>
  <si>
    <t>Andy Satria Purnama</t>
  </si>
  <si>
    <t>Semesta 2</t>
  </si>
  <si>
    <t>SD</t>
  </si>
  <si>
    <t>Semesta 3</t>
  </si>
  <si>
    <t>PG, TK, SMP</t>
  </si>
  <si>
    <t>TNA Fatih</t>
  </si>
  <si>
    <t>Rezvaldin</t>
  </si>
  <si>
    <r>
      <rPr>
        <b/>
        <sz val="12"/>
        <color theme="1"/>
        <rFont val="Arial"/>
      </rPr>
      <t xml:space="preserve">Key Takeaways
</t>
    </r>
    <r>
      <rPr>
        <sz val="12"/>
        <color theme="1"/>
        <rFont val="Arial"/>
      </rPr>
      <t xml:space="preserve">
</t>
    </r>
    <r>
      <rPr>
        <b/>
        <sz val="12"/>
        <color theme="1"/>
        <rFont val="Arial"/>
      </rPr>
      <t>1. Overall Admission Growth with a Recent Dip:</t>
    </r>
    <r>
      <rPr>
        <sz val="12"/>
        <color theme="1"/>
        <rFont val="Arial"/>
      </rPr>
      <t xml:space="preserve">
a) Total admissions across all schools generally increased from 2017 to 2024, with a peak in 2024 at 2035 admissions.
</t>
    </r>
    <r>
      <rPr>
        <b/>
        <sz val="12"/>
        <color theme="1"/>
        <rFont val="Arial"/>
      </rPr>
      <t>2. Staffing Ratios Indicate Resource Allocation:</t>
    </r>
    <r>
      <rPr>
        <sz val="12"/>
        <color theme="1"/>
        <rFont val="Arial"/>
      </rPr>
      <t xml:space="preserve">
a) On average, there are 2.25 teaching staff for every non-teaching staff member, suggesting a higher emphasis on direct instructional roles.
b) The average student-to-teaching staff ratio is 4.84, indicating a relatively low student load per teacher.
c) The average student-to-total staff ratio (including both teaching and non-teaching staff) is 3.03, highlighting the overall student support infrastructure.
</t>
    </r>
    <r>
      <rPr>
        <b/>
        <sz val="12"/>
        <color theme="1"/>
        <rFont val="Arial"/>
      </rPr>
      <t>3. School Level Influences Staffing and Admissions:</t>
    </r>
    <r>
      <rPr>
        <sz val="12"/>
        <color theme="1"/>
        <rFont val="Arial"/>
      </rPr>
      <t xml:space="preserve">
a) Schools offering a wider range of levels, such as 'TK, SD, SMP, SMA', tend to have higher average teaching staff (86.25), non-teaching staff (58.75), students (445.25), and total admissions (1250.25) compared to schools with fewer levels.
b) Conversely, schools focused on 'SMP, SMA' generally have lower average staffing and student numbers, with 33.75 teaching staff, 26 non-teaching staff, 124 students, and 345.25 total admissions.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</si>
</sst>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2"/>
      <color theme="1"/>
      <name val="Arial"/>
      <scheme val="minor"/>
    </font>
    <font>
      <b/>
      <sz val="12"/>
      <color theme="1"/>
      <name val="Arial"/>
    </font>
    <font>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3" fontId="1" fillId="0" borderId="0" xfId="0" applyNumberFormat="1" applyFont="1" applyAlignment="1">
      <alignment horizontal="center" vertical="center"/>
    </xf>
    <xf numFmtId="0" fontId="1" fillId="0" borderId="0" xfId="0" applyFont="1" applyAlignment="1">
      <alignment vertical="center"/>
    </xf>
    <xf numFmtId="0" fontId="0" fillId="0" borderId="0" xfId="0"/>
  </cellXfs>
  <cellStyles count="1">
    <cellStyle name="Normal" xfId="0" builtinId="0"/>
  </cellStyles>
  <dxfs count="5">
    <dxf>
      <border>
        <left style="thin">
          <color rgb="FF356854"/>
        </left>
        <right style="thin">
          <color rgb="FF356854"/>
        </right>
        <top style="thin">
          <color rgb="FF356854"/>
        </top>
        <bottom style="thin">
          <color rgb="FF356854"/>
        </bottom>
      </border>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2025_2026-style" pivot="0" count="5" xr9:uid="{00000000-0011-0000-FFFF-FFFF00000000}">
      <tableStyleElement type="wholeTable" size="0" dxfId="0"/>
      <tableStyleElement type="headerRow" dxfId="4"/>
      <tableStyleElement type="totalRow" dxfId="1"/>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17" totalsRowCount="1">
  <tableColumns count="16">
    <tableColumn id="1" xr3:uid="{00000000-0010-0000-0000-000001000000}" name="school"/>
    <tableColumn id="2" xr3:uid="{00000000-0010-0000-0000-000002000000}" name="foundation_representative"/>
    <tableColumn id="3" xr3:uid="{00000000-0010-0000-0000-000003000000}" name="level"/>
    <tableColumn id="4" xr3:uid="{00000000-0010-0000-0000-000004000000}" name="teaching_staff"/>
    <tableColumn id="5" xr3:uid="{00000000-0010-0000-0000-000005000000}" name="non_teaching_staff"/>
    <tableColumn id="6" xr3:uid="{00000000-0010-0000-0000-000006000000}" name="students"/>
    <tableColumn id="7" xr3:uid="{00000000-0010-0000-0000-000007000000}" name="admission_2017/2018" totalsRowFunction="custom">
      <totalsRowFormula>SUM(G2:G16)</totalsRowFormula>
    </tableColumn>
    <tableColumn id="8" xr3:uid="{00000000-0010-0000-0000-000008000000}" name="admission_2018/2019" totalsRowFunction="custom">
      <totalsRowFormula>SUM(H2:H16)</totalsRowFormula>
    </tableColumn>
    <tableColumn id="9" xr3:uid="{00000000-0010-0000-0000-000009000000}" name="admission_2019/2020" totalsRowFunction="custom">
      <totalsRowFormula>SUM(I2:I16)</totalsRowFormula>
    </tableColumn>
    <tableColumn id="10" xr3:uid="{00000000-0010-0000-0000-00000A000000}" name="admission_2020/2021" totalsRowFunction="custom">
      <totalsRowFormula>SUM(J2:J16)</totalsRowFormula>
    </tableColumn>
    <tableColumn id="11" xr3:uid="{00000000-0010-0000-0000-00000B000000}" name="admission_2021/2022" totalsRowFunction="custom">
      <totalsRowFormula>SUM(K2:K16)</totalsRowFormula>
    </tableColumn>
    <tableColumn id="12" xr3:uid="{00000000-0010-0000-0000-00000C000000}" name="admission_2022/2023" totalsRowFunction="custom">
      <totalsRowFormula>SUM(L2:L16)</totalsRowFormula>
    </tableColumn>
    <tableColumn id="13" xr3:uid="{00000000-0010-0000-0000-00000D000000}" name="admission_2023/2024" totalsRowFunction="custom">
      <totalsRowFormula>SUM(M2:M16)</totalsRowFormula>
    </tableColumn>
    <tableColumn id="14" xr3:uid="{00000000-0010-0000-0000-00000E000000}" name="admission_2024/2025" totalsRowFunction="custom">
      <totalsRowFormula>SUM(N2:N16)</totalsRowFormula>
    </tableColumn>
    <tableColumn id="15" xr3:uid="{00000000-0010-0000-0000-00000F000000}" name="admission_2025/2026_ongoing"/>
    <tableColumn id="16" xr3:uid="{00000000-0010-0000-0000-000010000000}" name="total_admission_2017_2025"/>
  </tableColumns>
  <tableStyleInfo name="2025_20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8"/>
  <sheetViews>
    <sheetView showGridLines="0" tabSelected="1" workbookViewId="0">
      <pane ySplit="1" topLeftCell="A2" activePane="bottomLeft" state="frozen"/>
      <selection pane="bottomLeft" activeCell="A18" sqref="A18:P18"/>
    </sheetView>
  </sheetViews>
  <sheetFormatPr defaultColWidth="12.5703125" defaultRowHeight="15.75" customHeight="1" x14ac:dyDescent="0.2"/>
  <cols>
    <col min="1" max="1" width="37.5703125" customWidth="1"/>
    <col min="2" max="2" width="33.5703125" customWidth="1"/>
    <col min="3" max="3" width="21.42578125" customWidth="1"/>
    <col min="4" max="4" width="14.42578125" customWidth="1"/>
    <col min="5" max="5" width="17.7109375" customWidth="1"/>
    <col min="6" max="6" width="13.28515625" customWidth="1"/>
    <col min="7" max="14" width="16.42578125" customWidth="1"/>
    <col min="15" max="15" width="20.5703125" customWidth="1"/>
    <col min="16" max="16" width="21.28515625" customWidth="1"/>
  </cols>
  <sheetData>
    <row r="1" spans="1:16" ht="22.5" customHeight="1" x14ac:dyDescent="0.2">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row>
    <row r="2" spans="1:16" ht="22.5" customHeight="1" x14ac:dyDescent="0.2">
      <c r="A2" s="3" t="s">
        <v>16</v>
      </c>
      <c r="B2" s="3" t="s">
        <v>17</v>
      </c>
      <c r="C2" s="3" t="s">
        <v>18</v>
      </c>
      <c r="D2" s="4">
        <v>54</v>
      </c>
      <c r="E2" s="4">
        <v>62</v>
      </c>
      <c r="F2" s="4">
        <v>239</v>
      </c>
      <c r="G2" s="4">
        <v>84</v>
      </c>
      <c r="H2" s="4">
        <v>145</v>
      </c>
      <c r="I2" s="4">
        <v>119</v>
      </c>
      <c r="J2" s="4">
        <v>120</v>
      </c>
      <c r="K2" s="4">
        <v>108</v>
      </c>
      <c r="L2" s="4">
        <v>110</v>
      </c>
      <c r="M2" s="4">
        <v>76</v>
      </c>
      <c r="N2" s="4">
        <v>157</v>
      </c>
      <c r="O2" s="4">
        <v>65</v>
      </c>
      <c r="P2" s="4">
        <v>984</v>
      </c>
    </row>
    <row r="3" spans="1:16" ht="22.5" customHeight="1" x14ac:dyDescent="0.2">
      <c r="A3" s="3" t="s">
        <v>19</v>
      </c>
      <c r="B3" s="3" t="s">
        <v>20</v>
      </c>
      <c r="C3" s="3" t="s">
        <v>18</v>
      </c>
      <c r="D3" s="4">
        <v>26</v>
      </c>
      <c r="E3" s="4">
        <v>24</v>
      </c>
      <c r="F3" s="4">
        <v>105</v>
      </c>
      <c r="G3" s="4" t="s">
        <v>21</v>
      </c>
      <c r="H3" s="4" t="s">
        <v>21</v>
      </c>
      <c r="I3" s="4" t="s">
        <v>21</v>
      </c>
      <c r="J3" s="4" t="s">
        <v>21</v>
      </c>
      <c r="K3" s="4" t="s">
        <v>21</v>
      </c>
      <c r="L3" s="4" t="s">
        <v>21</v>
      </c>
      <c r="M3" s="4">
        <v>51</v>
      </c>
      <c r="N3" s="4">
        <v>74</v>
      </c>
      <c r="O3" s="4">
        <v>23</v>
      </c>
      <c r="P3" s="4">
        <v>148</v>
      </c>
    </row>
    <row r="4" spans="1:16" ht="22.5" customHeight="1" x14ac:dyDescent="0.2">
      <c r="A4" s="3" t="s">
        <v>22</v>
      </c>
      <c r="B4" s="3" t="s">
        <v>23</v>
      </c>
      <c r="C4" s="3" t="s">
        <v>24</v>
      </c>
      <c r="D4" s="4">
        <v>51</v>
      </c>
      <c r="E4" s="4">
        <v>46</v>
      </c>
      <c r="F4" s="4">
        <v>298</v>
      </c>
      <c r="G4" s="4">
        <v>64</v>
      </c>
      <c r="H4" s="4">
        <v>92</v>
      </c>
      <c r="I4" s="4">
        <v>87</v>
      </c>
      <c r="J4" s="4">
        <v>88</v>
      </c>
      <c r="K4" s="4">
        <v>92</v>
      </c>
      <c r="L4" s="4">
        <v>110</v>
      </c>
      <c r="M4" s="4">
        <v>114</v>
      </c>
      <c r="N4" s="4">
        <v>122</v>
      </c>
      <c r="O4" s="4">
        <v>12</v>
      </c>
      <c r="P4" s="4">
        <v>781</v>
      </c>
    </row>
    <row r="5" spans="1:16" ht="22.5" customHeight="1" x14ac:dyDescent="0.2">
      <c r="A5" s="3" t="s">
        <v>25</v>
      </c>
      <c r="B5" s="3" t="s">
        <v>26</v>
      </c>
      <c r="C5" s="3" t="s">
        <v>27</v>
      </c>
      <c r="D5" s="4">
        <v>86</v>
      </c>
      <c r="E5" s="4">
        <v>89</v>
      </c>
      <c r="F5" s="4">
        <v>359</v>
      </c>
      <c r="G5" s="4">
        <v>147</v>
      </c>
      <c r="H5" s="4">
        <v>158</v>
      </c>
      <c r="I5" s="4">
        <v>136</v>
      </c>
      <c r="J5" s="4">
        <v>115</v>
      </c>
      <c r="K5" s="4">
        <v>129</v>
      </c>
      <c r="L5" s="4">
        <v>142</v>
      </c>
      <c r="M5" s="4">
        <v>127</v>
      </c>
      <c r="N5" s="4">
        <v>149</v>
      </c>
      <c r="O5" s="4">
        <v>30</v>
      </c>
      <c r="P5" s="5">
        <v>1133</v>
      </c>
    </row>
    <row r="6" spans="1:16" ht="22.5" customHeight="1" x14ac:dyDescent="0.2">
      <c r="A6" s="3" t="s">
        <v>28</v>
      </c>
      <c r="B6" s="3" t="s">
        <v>29</v>
      </c>
      <c r="C6" s="3" t="s">
        <v>30</v>
      </c>
      <c r="D6" s="4">
        <v>151</v>
      </c>
      <c r="E6" s="4">
        <v>114</v>
      </c>
      <c r="F6" s="4">
        <v>871</v>
      </c>
      <c r="G6" s="4">
        <v>230</v>
      </c>
      <c r="H6" s="4">
        <v>216</v>
      </c>
      <c r="I6" s="4">
        <v>227</v>
      </c>
      <c r="J6" s="4">
        <v>253</v>
      </c>
      <c r="K6" s="4">
        <v>291</v>
      </c>
      <c r="L6" s="4">
        <v>340</v>
      </c>
      <c r="M6" s="4">
        <v>329</v>
      </c>
      <c r="N6" s="4">
        <v>403</v>
      </c>
      <c r="O6" s="4">
        <v>177</v>
      </c>
      <c r="P6" s="5">
        <v>2466</v>
      </c>
    </row>
    <row r="7" spans="1:16" ht="22.5" customHeight="1" x14ac:dyDescent="0.2">
      <c r="A7" s="3" t="s">
        <v>31</v>
      </c>
      <c r="B7" s="3" t="s">
        <v>32</v>
      </c>
      <c r="C7" s="3" t="s">
        <v>18</v>
      </c>
      <c r="D7" s="4">
        <v>28</v>
      </c>
      <c r="E7" s="4">
        <v>13</v>
      </c>
      <c r="F7" s="4">
        <v>94</v>
      </c>
      <c r="G7" s="4" t="s">
        <v>21</v>
      </c>
      <c r="H7" s="4" t="s">
        <v>21</v>
      </c>
      <c r="I7" s="4" t="s">
        <v>21</v>
      </c>
      <c r="J7" s="4" t="s">
        <v>21</v>
      </c>
      <c r="K7" s="4">
        <v>35</v>
      </c>
      <c r="L7" s="4">
        <v>47</v>
      </c>
      <c r="M7" s="4">
        <v>33</v>
      </c>
      <c r="N7" s="4">
        <v>43</v>
      </c>
      <c r="O7" s="4">
        <v>12</v>
      </c>
      <c r="P7" s="4">
        <v>170</v>
      </c>
    </row>
    <row r="8" spans="1:16" ht="22.5" customHeight="1" x14ac:dyDescent="0.2">
      <c r="A8" s="3" t="s">
        <v>33</v>
      </c>
      <c r="B8" s="3" t="s">
        <v>34</v>
      </c>
      <c r="C8" s="3" t="s">
        <v>18</v>
      </c>
      <c r="D8" s="4">
        <v>27</v>
      </c>
      <c r="E8" s="4">
        <v>5</v>
      </c>
      <c r="F8" s="4">
        <v>58</v>
      </c>
      <c r="G8" s="4" t="s">
        <v>21</v>
      </c>
      <c r="H8" s="4" t="s">
        <v>21</v>
      </c>
      <c r="I8" s="4" t="s">
        <v>21</v>
      </c>
      <c r="J8" s="4" t="s">
        <v>21</v>
      </c>
      <c r="K8" s="4" t="s">
        <v>21</v>
      </c>
      <c r="L8" s="4" t="s">
        <v>21</v>
      </c>
      <c r="M8" s="4" t="s">
        <v>21</v>
      </c>
      <c r="N8" s="4">
        <v>60</v>
      </c>
      <c r="O8" s="4">
        <v>19</v>
      </c>
      <c r="P8" s="4">
        <v>79</v>
      </c>
    </row>
    <row r="9" spans="1:16" ht="22.5" customHeight="1" x14ac:dyDescent="0.2">
      <c r="A9" s="3" t="s">
        <v>35</v>
      </c>
      <c r="B9" s="3" t="s">
        <v>36</v>
      </c>
      <c r="C9" s="3" t="s">
        <v>37</v>
      </c>
      <c r="D9" s="4">
        <v>31</v>
      </c>
      <c r="E9" s="4">
        <v>8</v>
      </c>
      <c r="F9" s="4">
        <v>193</v>
      </c>
      <c r="G9" s="4" t="s">
        <v>21</v>
      </c>
      <c r="H9" s="4" t="s">
        <v>21</v>
      </c>
      <c r="I9" s="4">
        <v>23</v>
      </c>
      <c r="J9" s="4">
        <v>33</v>
      </c>
      <c r="K9" s="4">
        <v>54</v>
      </c>
      <c r="L9" s="4">
        <v>66</v>
      </c>
      <c r="M9" s="4">
        <v>78</v>
      </c>
      <c r="N9" s="4">
        <v>99</v>
      </c>
      <c r="O9" s="4">
        <v>1</v>
      </c>
      <c r="P9" s="4">
        <v>354</v>
      </c>
    </row>
    <row r="10" spans="1:16" ht="22.5" customHeight="1" x14ac:dyDescent="0.2">
      <c r="A10" s="3" t="s">
        <v>38</v>
      </c>
      <c r="B10" s="3" t="s">
        <v>39</v>
      </c>
      <c r="C10" s="3" t="s">
        <v>30</v>
      </c>
      <c r="D10" s="4">
        <v>81</v>
      </c>
      <c r="E10" s="4">
        <v>47</v>
      </c>
      <c r="F10" s="4">
        <v>472</v>
      </c>
      <c r="G10" s="4">
        <v>130</v>
      </c>
      <c r="H10" s="4">
        <v>104</v>
      </c>
      <c r="I10" s="4">
        <v>152</v>
      </c>
      <c r="J10" s="4">
        <v>194</v>
      </c>
      <c r="K10" s="4">
        <v>232</v>
      </c>
      <c r="L10" s="4">
        <v>261</v>
      </c>
      <c r="M10" s="4">
        <v>180</v>
      </c>
      <c r="N10" s="4">
        <v>213</v>
      </c>
      <c r="O10" s="4">
        <v>12</v>
      </c>
      <c r="P10" s="5">
        <v>1478</v>
      </c>
    </row>
    <row r="11" spans="1:16" ht="22.5" customHeight="1" x14ac:dyDescent="0.2">
      <c r="A11" s="3" t="s">
        <v>40</v>
      </c>
      <c r="B11" s="3" t="s">
        <v>41</v>
      </c>
      <c r="C11" s="3" t="s">
        <v>27</v>
      </c>
      <c r="D11" s="4">
        <v>62</v>
      </c>
      <c r="E11" s="4">
        <v>32</v>
      </c>
      <c r="F11" s="4">
        <v>326</v>
      </c>
      <c r="G11" s="4">
        <v>84</v>
      </c>
      <c r="H11" s="4">
        <v>92</v>
      </c>
      <c r="I11" s="4">
        <v>122</v>
      </c>
      <c r="J11" s="4">
        <v>141</v>
      </c>
      <c r="K11" s="4">
        <v>160</v>
      </c>
      <c r="L11" s="4">
        <v>136</v>
      </c>
      <c r="M11" s="4">
        <v>128</v>
      </c>
      <c r="N11" s="4">
        <v>111</v>
      </c>
      <c r="O11" s="4">
        <v>63</v>
      </c>
      <c r="P11" s="5">
        <v>1037</v>
      </c>
    </row>
    <row r="12" spans="1:16" ht="22.5" customHeight="1" x14ac:dyDescent="0.2">
      <c r="A12" s="3" t="s">
        <v>42</v>
      </c>
      <c r="B12" s="3" t="s">
        <v>41</v>
      </c>
      <c r="C12" s="3" t="s">
        <v>30</v>
      </c>
      <c r="D12" s="4">
        <v>55</v>
      </c>
      <c r="E12" s="4">
        <v>27</v>
      </c>
      <c r="F12" s="4">
        <v>134</v>
      </c>
      <c r="G12" s="4" t="s">
        <v>21</v>
      </c>
      <c r="H12" s="4" t="s">
        <v>21</v>
      </c>
      <c r="I12" s="4" t="s">
        <v>21</v>
      </c>
      <c r="J12" s="4" t="s">
        <v>21</v>
      </c>
      <c r="K12" s="4" t="s">
        <v>21</v>
      </c>
      <c r="L12" s="4">
        <v>79</v>
      </c>
      <c r="M12" s="4">
        <v>67</v>
      </c>
      <c r="N12" s="4">
        <v>74</v>
      </c>
      <c r="O12" s="4">
        <v>21</v>
      </c>
      <c r="P12" s="4">
        <v>241</v>
      </c>
    </row>
    <row r="13" spans="1:16" ht="22.5" customHeight="1" x14ac:dyDescent="0.2">
      <c r="A13" s="3" t="s">
        <v>43</v>
      </c>
      <c r="B13" s="3" t="s">
        <v>44</v>
      </c>
      <c r="C13" s="3" t="s">
        <v>27</v>
      </c>
      <c r="D13" s="4">
        <v>55</v>
      </c>
      <c r="E13" s="4">
        <v>105</v>
      </c>
      <c r="F13" s="4">
        <v>314</v>
      </c>
      <c r="G13" s="4">
        <v>170</v>
      </c>
      <c r="H13" s="4">
        <v>226</v>
      </c>
      <c r="I13" s="4">
        <v>193</v>
      </c>
      <c r="J13" s="4">
        <v>122</v>
      </c>
      <c r="K13" s="4">
        <v>119</v>
      </c>
      <c r="L13" s="4">
        <v>105</v>
      </c>
      <c r="M13" s="4">
        <v>140</v>
      </c>
      <c r="N13" s="4">
        <v>176</v>
      </c>
      <c r="O13" s="4">
        <v>35</v>
      </c>
      <c r="P13" s="5">
        <v>1286</v>
      </c>
    </row>
    <row r="14" spans="1:16" ht="22.5" customHeight="1" x14ac:dyDescent="0.2">
      <c r="A14" s="3" t="s">
        <v>45</v>
      </c>
      <c r="B14" s="3" t="s">
        <v>44</v>
      </c>
      <c r="C14" s="3" t="s">
        <v>46</v>
      </c>
      <c r="D14" s="4">
        <v>43</v>
      </c>
      <c r="E14" s="4">
        <v>8</v>
      </c>
      <c r="F14" s="4">
        <v>353</v>
      </c>
      <c r="G14" s="4" t="s">
        <v>21</v>
      </c>
      <c r="H14" s="4" t="s">
        <v>21</v>
      </c>
      <c r="I14" s="4" t="s">
        <v>21</v>
      </c>
      <c r="J14" s="4">
        <v>66</v>
      </c>
      <c r="K14" s="4">
        <v>66</v>
      </c>
      <c r="L14" s="4">
        <v>71</v>
      </c>
      <c r="M14" s="4">
        <v>93</v>
      </c>
      <c r="N14" s="4">
        <v>94</v>
      </c>
      <c r="O14" s="4">
        <v>38</v>
      </c>
      <c r="P14" s="4">
        <v>428</v>
      </c>
    </row>
    <row r="15" spans="1:16" ht="22.5" customHeight="1" x14ac:dyDescent="0.2">
      <c r="A15" s="3" t="s">
        <v>47</v>
      </c>
      <c r="B15" s="3" t="s">
        <v>44</v>
      </c>
      <c r="C15" s="3" t="s">
        <v>48</v>
      </c>
      <c r="D15" s="4">
        <v>50</v>
      </c>
      <c r="E15" s="4">
        <v>12</v>
      </c>
      <c r="F15" s="4">
        <v>200</v>
      </c>
      <c r="G15" s="4" t="s">
        <v>21</v>
      </c>
      <c r="H15" s="4" t="s">
        <v>21</v>
      </c>
      <c r="I15" s="4">
        <v>97</v>
      </c>
      <c r="J15" s="4">
        <v>61</v>
      </c>
      <c r="K15" s="4">
        <v>109</v>
      </c>
      <c r="L15" s="4">
        <v>113</v>
      </c>
      <c r="M15" s="4">
        <v>152</v>
      </c>
      <c r="N15" s="4">
        <v>140</v>
      </c>
      <c r="O15" s="4">
        <v>25</v>
      </c>
      <c r="P15" s="4">
        <v>697</v>
      </c>
    </row>
    <row r="16" spans="1:16" ht="22.5" customHeight="1" x14ac:dyDescent="0.2">
      <c r="A16" s="3" t="s">
        <v>49</v>
      </c>
      <c r="B16" s="3" t="s">
        <v>50</v>
      </c>
      <c r="C16" s="3" t="s">
        <v>30</v>
      </c>
      <c r="D16" s="4">
        <v>58</v>
      </c>
      <c r="E16" s="4">
        <v>47</v>
      </c>
      <c r="F16" s="4">
        <v>304</v>
      </c>
      <c r="G16" s="4">
        <v>70</v>
      </c>
      <c r="H16" s="4">
        <v>75</v>
      </c>
      <c r="I16" s="4">
        <v>108</v>
      </c>
      <c r="J16" s="4">
        <v>97</v>
      </c>
      <c r="K16" s="4">
        <v>112</v>
      </c>
      <c r="L16" s="4">
        <v>105</v>
      </c>
      <c r="M16" s="4">
        <v>115</v>
      </c>
      <c r="N16" s="4">
        <v>120</v>
      </c>
      <c r="O16" s="4">
        <v>14</v>
      </c>
      <c r="P16" s="4">
        <v>816</v>
      </c>
    </row>
    <row r="17" spans="1:16" ht="22.5" customHeight="1" x14ac:dyDescent="0.2">
      <c r="A17" s="3"/>
      <c r="B17" s="3"/>
      <c r="C17" s="3"/>
      <c r="D17" s="4"/>
      <c r="E17" s="4"/>
      <c r="F17" s="4"/>
      <c r="G17" s="4">
        <f t="shared" ref="G17:N17" si="0">SUM(G2:G16)</f>
        <v>979</v>
      </c>
      <c r="H17" s="4">
        <f t="shared" si="0"/>
        <v>1108</v>
      </c>
      <c r="I17" s="4">
        <f t="shared" si="0"/>
        <v>1264</v>
      </c>
      <c r="J17" s="4">
        <f t="shared" si="0"/>
        <v>1290</v>
      </c>
      <c r="K17" s="4">
        <f t="shared" si="0"/>
        <v>1507</v>
      </c>
      <c r="L17" s="4">
        <f t="shared" si="0"/>
        <v>1685</v>
      </c>
      <c r="M17" s="4">
        <f t="shared" si="0"/>
        <v>1683</v>
      </c>
      <c r="N17" s="4">
        <f t="shared" si="0"/>
        <v>2035</v>
      </c>
      <c r="O17" s="4"/>
      <c r="P17" s="4"/>
    </row>
    <row r="18" spans="1:16" ht="201.75" customHeight="1" x14ac:dyDescent="0.2">
      <c r="A18" s="6" t="s">
        <v>51</v>
      </c>
      <c r="B18" s="7"/>
      <c r="C18" s="7"/>
      <c r="D18" s="7"/>
      <c r="E18" s="7"/>
      <c r="F18" s="7"/>
      <c r="G18" s="7"/>
      <c r="H18" s="7"/>
      <c r="I18" s="7"/>
      <c r="J18" s="7"/>
      <c r="K18" s="7"/>
      <c r="L18" s="7"/>
      <c r="M18" s="7"/>
      <c r="N18" s="7"/>
      <c r="O18" s="7"/>
      <c r="P18" s="7"/>
    </row>
  </sheetData>
  <mergeCells count="1">
    <mergeCell ref="A18:P18"/>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Ali Usta</cp:lastModifiedBy>
  <dcterms:modified xsi:type="dcterms:W3CDTF">2026-03-11T09:01:49Z</dcterms:modified>
</cp:coreProperties>
</file>